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\OneDrive\Documentos\Tec de Monterrey\2026 Semestre B_Tercio _1\Plataformas de analítica de negocios para organizaciones\"/>
    </mc:Choice>
  </mc:AlternateContent>
  <xr:revisionPtr revIDLastSave="0" documentId="13_ncr:1_{92305E6F-AA0C-4034-8586-474A263A82A3}" xr6:coauthVersionLast="47" xr6:coauthVersionMax="47" xr10:uidLastSave="{00000000-0000-0000-0000-000000000000}"/>
  <bookViews>
    <workbookView xWindow="-120" yWindow="-120" windowWidth="20730" windowHeight="11040" xr2:uid="{6847EABC-BF92-4BE7-AAAB-C0D45CC59C6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5" i="1" l="1"/>
  <c r="AG44" i="1"/>
  <c r="AG43" i="1"/>
  <c r="AG42" i="1"/>
  <c r="AC41" i="1"/>
  <c r="AA41" i="1"/>
  <c r="Z41" i="1"/>
  <c r="W41" i="1"/>
  <c r="S41" i="1"/>
  <c r="R41" i="1"/>
  <c r="O41" i="1"/>
  <c r="K41" i="1"/>
  <c r="J41" i="1"/>
  <c r="G41" i="1"/>
  <c r="C41" i="1"/>
  <c r="B41" i="1"/>
  <c r="AG37" i="1"/>
  <c r="AG36" i="1"/>
  <c r="AG35" i="1"/>
  <c r="AG34" i="1"/>
  <c r="AB33" i="1"/>
  <c r="AB41" i="1" s="1"/>
  <c r="AA33" i="1"/>
  <c r="Z33" i="1"/>
  <c r="Y33" i="1"/>
  <c r="Y41" i="1" s="1"/>
  <c r="X33" i="1"/>
  <c r="X41" i="1" s="1"/>
  <c r="W33" i="1"/>
  <c r="V33" i="1"/>
  <c r="V41" i="1" s="1"/>
  <c r="U33" i="1"/>
  <c r="U41" i="1" s="1"/>
  <c r="T33" i="1"/>
  <c r="T41" i="1" s="1"/>
  <c r="S33" i="1"/>
  <c r="R33" i="1"/>
  <c r="Q33" i="1"/>
  <c r="Q41" i="1" s="1"/>
  <c r="P33" i="1"/>
  <c r="P41" i="1" s="1"/>
  <c r="O33" i="1"/>
  <c r="N33" i="1"/>
  <c r="N41" i="1" s="1"/>
  <c r="M33" i="1"/>
  <c r="M41" i="1" s="1"/>
  <c r="L33" i="1"/>
  <c r="L41" i="1" s="1"/>
  <c r="K33" i="1"/>
  <c r="J33" i="1"/>
  <c r="I33" i="1"/>
  <c r="I41" i="1" s="1"/>
  <c r="H33" i="1"/>
  <c r="H41" i="1" s="1"/>
  <c r="G33" i="1"/>
  <c r="F33" i="1"/>
  <c r="F41" i="1" s="1"/>
  <c r="E33" i="1"/>
  <c r="E41" i="1" s="1"/>
  <c r="D33" i="1"/>
  <c r="D41" i="1" s="1"/>
  <c r="C33" i="1"/>
  <c r="B33" i="1"/>
  <c r="AG30" i="1"/>
  <c r="AG29" i="1"/>
  <c r="AH29" i="1" s="1"/>
  <c r="AG28" i="1"/>
  <c r="AH28" i="1" s="1"/>
  <c r="AG27" i="1"/>
  <c r="AH27" i="1" s="1"/>
  <c r="AG26" i="1"/>
  <c r="AG25" i="1"/>
  <c r="AH25" i="1" s="1"/>
  <c r="AG24" i="1"/>
  <c r="AH24" i="1" s="1"/>
  <c r="AG23" i="1"/>
  <c r="AH23" i="1" s="1"/>
  <c r="AG22" i="1"/>
  <c r="AG21" i="1"/>
  <c r="AH21" i="1" s="1"/>
  <c r="AG20" i="1"/>
  <c r="AH20" i="1" s="1"/>
  <c r="AG19" i="1"/>
  <c r="AH19" i="1" s="1"/>
  <c r="AH18" i="1"/>
  <c r="AG18" i="1"/>
  <c r="AG17" i="1"/>
  <c r="AH17" i="1" s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J8" i="1"/>
  <c r="AK5" i="1" s="1"/>
  <c r="AI8" i="1"/>
  <c r="AI11" i="1" s="1"/>
  <c r="AH8" i="1"/>
  <c r="AH11" i="1" s="1"/>
  <c r="AG8" i="1"/>
  <c r="AG11" i="1" s="1"/>
  <c r="AI7" i="1"/>
  <c r="AH7" i="1"/>
  <c r="AG7" i="1"/>
  <c r="AJ7" i="1" s="1"/>
  <c r="AI6" i="1"/>
  <c r="AH6" i="1"/>
  <c r="AG6" i="1"/>
  <c r="AJ6" i="1" s="1"/>
  <c r="AI5" i="1"/>
  <c r="AI10" i="1" s="1"/>
  <c r="AH5" i="1"/>
  <c r="AJ5" i="1" s="1"/>
  <c r="AG5" i="1"/>
  <c r="AG10" i="1" s="1"/>
  <c r="AI4" i="1"/>
  <c r="AH4" i="1"/>
  <c r="AJ4" i="1" s="1"/>
  <c r="AG4" i="1"/>
  <c r="AF1" i="1"/>
  <c r="AE1" i="1"/>
  <c r="AD1" i="1"/>
  <c r="AC1" i="1"/>
  <c r="AB1" i="1"/>
  <c r="AA1" i="1"/>
  <c r="Z1" i="1"/>
  <c r="Y1" i="1"/>
  <c r="X1" i="1"/>
  <c r="W1" i="1"/>
  <c r="V1" i="1"/>
  <c r="AK4" i="1" l="1"/>
  <c r="AH10" i="1"/>
  <c r="AH26" i="1"/>
  <c r="AH22" i="1"/>
  <c r="AH16" i="1" s="1"/>
  <c r="AH30" i="1"/>
</calcChain>
</file>

<file path=xl/sharedStrings.xml><?xml version="1.0" encoding="utf-8"?>
<sst xmlns="http://schemas.openxmlformats.org/spreadsheetml/2006/main" count="251" uniqueCount="71">
  <si>
    <t xml:space="preserve">Ventas </t>
  </si>
  <si>
    <t>Indicador</t>
  </si>
  <si>
    <t>Enero, 24</t>
  </si>
  <si>
    <t>Febrero, 24</t>
  </si>
  <si>
    <t>Marzo, 24</t>
  </si>
  <si>
    <t>Abril, 24</t>
  </si>
  <si>
    <t>Mayo, 24</t>
  </si>
  <si>
    <t>Junio, 24</t>
  </si>
  <si>
    <t>Julio, 24</t>
  </si>
  <si>
    <t>Agosto, 24</t>
  </si>
  <si>
    <t>Septiembre, 24</t>
  </si>
  <si>
    <t>Octubre, 24</t>
  </si>
  <si>
    <t>Noviembre, 24</t>
  </si>
  <si>
    <t>Diciembre, 25</t>
  </si>
  <si>
    <t>Enero, 25</t>
  </si>
  <si>
    <t>Febrero, 25</t>
  </si>
  <si>
    <t>Marzo, 25</t>
  </si>
  <si>
    <t>Abril, 25</t>
  </si>
  <si>
    <t>Mayo, 25</t>
  </si>
  <si>
    <t>Junio, 25</t>
  </si>
  <si>
    <t>Julio, 25</t>
  </si>
  <si>
    <t>Agosto, 25</t>
  </si>
  <si>
    <t>Septiembre, 25</t>
  </si>
  <si>
    <t>Octubre, 25</t>
  </si>
  <si>
    <t>Noviembre, 25</t>
  </si>
  <si>
    <t>Enero, 26</t>
  </si>
  <si>
    <t>Febrero, 26</t>
  </si>
  <si>
    <t>Marzo, 26</t>
  </si>
  <si>
    <t>Abril, 26</t>
  </si>
  <si>
    <t>Mayo,26</t>
  </si>
  <si>
    <t>Junio, 26</t>
  </si>
  <si>
    <t>Julio,26</t>
  </si>
  <si>
    <t>Total 2024</t>
  </si>
  <si>
    <t>Total 2025</t>
  </si>
  <si>
    <t>Total 2026</t>
  </si>
  <si>
    <t>Generadas</t>
  </si>
  <si>
    <t>Aprobadas</t>
  </si>
  <si>
    <t>Condicionadas</t>
  </si>
  <si>
    <t>Rechazadas</t>
  </si>
  <si>
    <t>Formalizadas</t>
  </si>
  <si>
    <t>% de Aprobación</t>
  </si>
  <si>
    <t xml:space="preserve">% de Formalizacion </t>
  </si>
  <si>
    <t>N.º de solicitudes ingresadas por financiera</t>
  </si>
  <si>
    <t>Financiera</t>
  </si>
  <si>
    <t xml:space="preserve">TOTAL </t>
  </si>
  <si>
    <t>% PARTICIPACION</t>
  </si>
  <si>
    <t>ABC</t>
  </si>
  <si>
    <t>-</t>
  </si>
  <si>
    <t>Afirme</t>
  </si>
  <si>
    <t>Banorte</t>
  </si>
  <si>
    <t>BBVA</t>
  </si>
  <si>
    <t>Ensueño</t>
  </si>
  <si>
    <t>FinanMadrid</t>
  </si>
  <si>
    <t>INBURSA</t>
  </si>
  <si>
    <t>MSTART</t>
  </si>
  <si>
    <t>Nexu</t>
  </si>
  <si>
    <t>Santander</t>
  </si>
  <si>
    <t>Scotiabank</t>
  </si>
  <si>
    <t>Sumafin</t>
  </si>
  <si>
    <t xml:space="preserve">Bajio </t>
  </si>
  <si>
    <t>Kuna</t>
  </si>
  <si>
    <t>Motivos de SDC No autorizadas</t>
  </si>
  <si>
    <t>Total</t>
  </si>
  <si>
    <t>Mal Buro</t>
  </si>
  <si>
    <t>Score bajo</t>
  </si>
  <si>
    <t xml:space="preserve">Capacidad de pago </t>
  </si>
  <si>
    <t>Otros</t>
  </si>
  <si>
    <t>Motivos de SDC No formaliadas</t>
  </si>
  <si>
    <t>Compra en otro lado</t>
  </si>
  <si>
    <t>Falta importe para enganche</t>
  </si>
  <si>
    <t>Espera comprar en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</si>
</sst>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0" fillId="0" borderId="0" xfId="0" applyNumberFormat="1"/>
    <xf numFmtId="9" fontId="0" fillId="0" borderId="0" xfId="0" applyNumberFormat="1" applyAlignment="1">
      <alignment horizontal="right"/>
    </xf>
    <xf numFmtId="9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/>
    <xf numFmtId="1" fontId="0" fillId="0" borderId="1" xfId="0" applyNumberFormat="1" applyBorder="1"/>
    <xf numFmtId="1" fontId="2" fillId="0" borderId="0" xfId="0" applyNumberFormat="1" applyFont="1" applyAlignment="1">
      <alignment horizontal="right"/>
    </xf>
    <xf numFmtId="1" fontId="0" fillId="0" borderId="3" xfId="0" applyNumberFormat="1" applyBorder="1" applyAlignment="1">
      <alignment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2" xfId="1" applyNumberFormat="1" applyFont="1" applyFill="1" applyBorder="1" applyAlignment="1">
      <alignment horizontal="center" vertical="center"/>
    </xf>
    <xf numFmtId="1" fontId="0" fillId="0" borderId="0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 vertical="center"/>
    </xf>
    <xf numFmtId="0" fontId="3" fillId="0" borderId="1" xfId="0" applyFont="1" applyBorder="1"/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fre\OneDrive\Documentos\Tec%20de%20Monterrey\2026%20Semestre%20B_Tercio%20_1\Plataformas%20de%20anal&#237;tica%20de%20negocios%20para%20organizaciones\Copia%20de%20Analisis%20GAC%20Full_1.xlsx" TargetMode="External"/><Relationship Id="rId1" Type="http://schemas.openxmlformats.org/officeDocument/2006/relationships/externalLinkPath" Target="Copia%20de%20Analisis%20GAC%20Full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Canales"/>
      <sheetName val="Principales Canales"/>
      <sheetName val="Ventas por Asesor "/>
      <sheetName val="Ventas"/>
      <sheetName val="Solicitudes"/>
      <sheetName val="PDM"/>
      <sheetName val="APV "/>
      <sheetName val="Std Leads "/>
      <sheetName val="SDC "/>
      <sheetName val="Funnel Historico"/>
      <sheetName val="Marketing"/>
      <sheetName val="Leads por Canal"/>
      <sheetName val="Funnel"/>
      <sheetName val="Postventa"/>
      <sheetName val="CPL FACEBOOK"/>
      <sheetName val="UB x Unidad"/>
      <sheetName val="LIKES"/>
      <sheetName val="Bitacora de Piso"/>
      <sheetName val="Leads Reales"/>
      <sheetName val="Citas Digital"/>
      <sheetName val="Conversaciones por Asesor"/>
      <sheetName val="Plazas"/>
      <sheetName val="RDO Digital "/>
      <sheetName val="Reporte de Piso"/>
      <sheetName val="SDC Desglose"/>
      <sheetName val="Piso"/>
      <sheetName val="Base de Leads"/>
      <sheetName val="Analisis de Piso "/>
      <sheetName val="Líneas telefónicas"/>
      <sheetName val="Base de Tlaxcala"/>
      <sheetName val="Bitacora de Entregas"/>
      <sheetName val="Posventa"/>
      <sheetName val=" BCS"/>
      <sheetName val="TOPS VENTAS"/>
      <sheetName val="TOPS TDH"/>
      <sheetName val="TOPS MKT"/>
      <sheetName val="TOPS POST VENTA"/>
      <sheetName val="MKT Digital "/>
    </sheetNames>
    <sheetDataSet>
      <sheetData sheetId="0">
        <row r="25">
          <cell r="E25">
            <v>27</v>
          </cell>
        </row>
        <row r="26">
          <cell r="G26">
            <v>41</v>
          </cell>
        </row>
        <row r="27">
          <cell r="G27">
            <v>40</v>
          </cell>
        </row>
        <row r="28">
          <cell r="G28">
            <v>42</v>
          </cell>
        </row>
        <row r="29">
          <cell r="G29">
            <v>34</v>
          </cell>
        </row>
        <row r="30">
          <cell r="G30">
            <v>38</v>
          </cell>
        </row>
        <row r="31">
          <cell r="G31">
            <v>30</v>
          </cell>
        </row>
        <row r="32">
          <cell r="G32">
            <v>41</v>
          </cell>
        </row>
        <row r="33">
          <cell r="G33">
            <v>41</v>
          </cell>
        </row>
        <row r="34">
          <cell r="G34">
            <v>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5BDD-3639-45E4-9C83-22148DAA2010}">
  <dimension ref="A1:AK45"/>
  <sheetViews>
    <sheetView tabSelected="1" topLeftCell="U24" workbookViewId="0">
      <selection sqref="A1:AK45"/>
    </sheetView>
  </sheetViews>
  <sheetFormatPr baseColWidth="10" defaultRowHeight="15" x14ac:dyDescent="0.25"/>
  <sheetData>
    <row r="1" spans="1:37" x14ac:dyDescent="0.25">
      <c r="A1" s="1" t="s">
        <v>0</v>
      </c>
      <c r="B1" s="2"/>
      <c r="C1" s="3">
        <v>12</v>
      </c>
      <c r="D1" s="3">
        <v>7</v>
      </c>
      <c r="E1" s="3">
        <v>8</v>
      </c>
      <c r="F1" s="3">
        <v>13</v>
      </c>
      <c r="G1" s="3">
        <v>6</v>
      </c>
      <c r="H1" s="3">
        <v>21</v>
      </c>
      <c r="I1" s="3">
        <v>17</v>
      </c>
      <c r="J1" s="3">
        <v>17</v>
      </c>
      <c r="K1" s="3">
        <v>23</v>
      </c>
      <c r="L1" s="3">
        <v>22</v>
      </c>
      <c r="M1" s="3">
        <v>32</v>
      </c>
      <c r="N1" s="3">
        <v>26</v>
      </c>
      <c r="O1" s="3">
        <v>20</v>
      </c>
      <c r="P1" s="3">
        <v>30</v>
      </c>
      <c r="Q1" s="3">
        <v>30</v>
      </c>
      <c r="R1" s="3">
        <v>34</v>
      </c>
      <c r="S1" s="3">
        <v>40</v>
      </c>
      <c r="T1" s="3">
        <v>36</v>
      </c>
      <c r="U1" s="3">
        <v>27</v>
      </c>
      <c r="V1" s="3">
        <f>'[1]Principales Canales'!U3</f>
        <v>0</v>
      </c>
      <c r="W1" s="3">
        <f>[1]Resumen!E25</f>
        <v>27</v>
      </c>
      <c r="X1" s="3">
        <f>[1]Resumen!G26</f>
        <v>41</v>
      </c>
      <c r="Y1" s="3">
        <f>[1]Resumen!G27</f>
        <v>40</v>
      </c>
      <c r="Z1" s="3">
        <f>[1]Resumen!G28</f>
        <v>42</v>
      </c>
      <c r="AA1" s="3">
        <f>[1]Resumen!G29</f>
        <v>34</v>
      </c>
      <c r="AB1" s="3">
        <f>[1]Resumen!G30</f>
        <v>38</v>
      </c>
      <c r="AC1" s="3">
        <f>[1]Resumen!G31</f>
        <v>30</v>
      </c>
      <c r="AD1" s="3">
        <f>[1]Resumen!G32</f>
        <v>41</v>
      </c>
      <c r="AE1" s="3">
        <f>[1]Resumen!G33</f>
        <v>41</v>
      </c>
      <c r="AF1" s="3">
        <f>[1]Resumen!G34</f>
        <v>35</v>
      </c>
      <c r="AG1" s="2"/>
      <c r="AH1" s="2"/>
      <c r="AI1" s="2"/>
      <c r="AJ1" s="2"/>
      <c r="AK1" s="2"/>
    </row>
    <row r="2" spans="1:37" x14ac:dyDescent="0.25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7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13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</row>
    <row r="4" spans="1:37" x14ac:dyDescent="0.25">
      <c r="A4" s="7" t="s">
        <v>35</v>
      </c>
      <c r="B4" s="6">
        <v>5</v>
      </c>
      <c r="C4" s="6">
        <v>6</v>
      </c>
      <c r="D4" s="6">
        <v>11</v>
      </c>
      <c r="E4" s="6">
        <v>23</v>
      </c>
      <c r="F4" s="6">
        <v>26</v>
      </c>
      <c r="G4" s="6">
        <v>43</v>
      </c>
      <c r="H4" s="6">
        <v>55</v>
      </c>
      <c r="I4" s="6">
        <v>36</v>
      </c>
      <c r="J4" s="6">
        <v>56</v>
      </c>
      <c r="K4" s="6">
        <v>79</v>
      </c>
      <c r="L4" s="6">
        <v>76</v>
      </c>
      <c r="M4" s="6">
        <v>103</v>
      </c>
      <c r="N4" s="6">
        <v>83</v>
      </c>
      <c r="O4" s="6">
        <v>76</v>
      </c>
      <c r="P4" s="6">
        <v>92</v>
      </c>
      <c r="Q4" s="6">
        <v>59</v>
      </c>
      <c r="R4" s="6">
        <v>76</v>
      </c>
      <c r="S4" s="6">
        <v>97</v>
      </c>
      <c r="T4" s="6">
        <v>104</v>
      </c>
      <c r="U4" s="6">
        <v>99</v>
      </c>
      <c r="V4" s="6">
        <v>127</v>
      </c>
      <c r="W4" s="6">
        <v>136</v>
      </c>
      <c r="X4" s="6">
        <v>118</v>
      </c>
      <c r="Y4" s="6">
        <v>111</v>
      </c>
      <c r="Z4" s="6">
        <v>113</v>
      </c>
      <c r="AA4" s="6">
        <v>83</v>
      </c>
      <c r="AB4" s="6">
        <v>85</v>
      </c>
      <c r="AC4" s="6">
        <v>74</v>
      </c>
      <c r="AD4" s="6">
        <v>95</v>
      </c>
      <c r="AE4" s="6">
        <v>82</v>
      </c>
      <c r="AF4" s="6">
        <v>32</v>
      </c>
      <c r="AG4" s="6">
        <f>SUM(B4:M4)</f>
        <v>519</v>
      </c>
      <c r="AH4" s="6">
        <f>SUM(N4:Y4)</f>
        <v>1178</v>
      </c>
      <c r="AI4" s="6">
        <f>SUM(Z4:AD4)</f>
        <v>450</v>
      </c>
      <c r="AJ4">
        <f>AH4+AG4</f>
        <v>1697</v>
      </c>
      <c r="AK4" s="8">
        <f>AJ5/AJ4</f>
        <v>0.3924572775486152</v>
      </c>
    </row>
    <row r="5" spans="1:37" x14ac:dyDescent="0.25">
      <c r="A5" s="7" t="s">
        <v>36</v>
      </c>
      <c r="B5" s="6">
        <v>1</v>
      </c>
      <c r="C5" s="6">
        <v>2</v>
      </c>
      <c r="D5" s="6">
        <v>7</v>
      </c>
      <c r="E5" s="6">
        <v>14</v>
      </c>
      <c r="F5" s="6">
        <v>8</v>
      </c>
      <c r="G5" s="6">
        <v>13</v>
      </c>
      <c r="H5" s="6">
        <v>30</v>
      </c>
      <c r="I5" s="6">
        <v>19</v>
      </c>
      <c r="J5" s="6">
        <v>26</v>
      </c>
      <c r="K5" s="6">
        <v>31</v>
      </c>
      <c r="L5" s="6">
        <v>25</v>
      </c>
      <c r="M5" s="6">
        <v>39</v>
      </c>
      <c r="N5" s="6">
        <v>30</v>
      </c>
      <c r="O5" s="6">
        <v>27</v>
      </c>
      <c r="P5" s="6">
        <v>31</v>
      </c>
      <c r="Q5" s="6">
        <v>35</v>
      </c>
      <c r="R5" s="6">
        <v>40</v>
      </c>
      <c r="S5" s="6">
        <v>46</v>
      </c>
      <c r="T5" s="6">
        <v>41</v>
      </c>
      <c r="U5" s="6">
        <v>27</v>
      </c>
      <c r="V5" s="6">
        <v>43</v>
      </c>
      <c r="W5" s="6">
        <v>51</v>
      </c>
      <c r="X5" s="6">
        <v>49</v>
      </c>
      <c r="Y5" s="6">
        <v>31</v>
      </c>
      <c r="Z5" s="6">
        <v>37</v>
      </c>
      <c r="AA5" s="6">
        <v>37</v>
      </c>
      <c r="AB5" s="6">
        <v>41</v>
      </c>
      <c r="AC5" s="6">
        <v>42</v>
      </c>
      <c r="AD5" s="6">
        <v>44</v>
      </c>
      <c r="AE5" s="6">
        <v>35</v>
      </c>
      <c r="AF5" s="6">
        <v>12</v>
      </c>
      <c r="AG5" s="6">
        <f t="shared" ref="AG5:AG6" si="0">SUM(B5:M5)</f>
        <v>215</v>
      </c>
      <c r="AH5" s="6">
        <f t="shared" ref="AH5:AH8" si="1">SUM(N5:Y5)</f>
        <v>451</v>
      </c>
      <c r="AI5" s="6">
        <f>SUM(Z5:AD5)</f>
        <v>201</v>
      </c>
      <c r="AJ5">
        <f t="shared" ref="AJ5:AJ8" si="2">AH5+AG5</f>
        <v>666</v>
      </c>
      <c r="AK5">
        <f>AJ8/AJ5</f>
        <v>0.50900900900900903</v>
      </c>
    </row>
    <row r="6" spans="1:37" x14ac:dyDescent="0.25">
      <c r="A6" s="7" t="s">
        <v>37</v>
      </c>
      <c r="B6" s="6">
        <v>0</v>
      </c>
      <c r="C6" s="6">
        <v>0</v>
      </c>
      <c r="D6" s="6">
        <v>1</v>
      </c>
      <c r="E6" s="6">
        <v>0</v>
      </c>
      <c r="F6" s="6">
        <v>4</v>
      </c>
      <c r="G6" s="6">
        <v>0</v>
      </c>
      <c r="H6" s="6">
        <v>3</v>
      </c>
      <c r="I6" s="6">
        <v>0</v>
      </c>
      <c r="J6" s="6">
        <v>1</v>
      </c>
      <c r="K6" s="6">
        <v>32</v>
      </c>
      <c r="L6" s="6">
        <v>26</v>
      </c>
      <c r="M6" s="6">
        <v>33</v>
      </c>
      <c r="N6" s="6">
        <v>25</v>
      </c>
      <c r="O6" s="6">
        <v>18</v>
      </c>
      <c r="P6" s="6">
        <v>27</v>
      </c>
      <c r="Q6" s="6">
        <v>6</v>
      </c>
      <c r="R6" s="6">
        <v>7</v>
      </c>
      <c r="S6" s="6">
        <v>25</v>
      </c>
      <c r="T6" s="6">
        <v>22</v>
      </c>
      <c r="U6" s="6">
        <v>22</v>
      </c>
      <c r="V6" s="6">
        <v>32</v>
      </c>
      <c r="W6" s="6">
        <v>22</v>
      </c>
      <c r="X6" s="6">
        <v>32</v>
      </c>
      <c r="Y6" s="6">
        <v>49</v>
      </c>
      <c r="Z6" s="6">
        <v>34</v>
      </c>
      <c r="AA6" s="6">
        <v>21</v>
      </c>
      <c r="AB6" s="6">
        <v>14</v>
      </c>
      <c r="AC6" s="6">
        <v>16</v>
      </c>
      <c r="AD6" s="6">
        <v>17</v>
      </c>
      <c r="AE6" s="6">
        <v>10</v>
      </c>
      <c r="AF6" s="6">
        <v>9</v>
      </c>
      <c r="AG6" s="6">
        <f t="shared" si="0"/>
        <v>100</v>
      </c>
      <c r="AH6" s="6">
        <f t="shared" si="1"/>
        <v>287</v>
      </c>
      <c r="AI6" s="6">
        <f>SUM(Z6:AD6)</f>
        <v>102</v>
      </c>
      <c r="AJ6">
        <f t="shared" si="2"/>
        <v>387</v>
      </c>
    </row>
    <row r="7" spans="1:37" x14ac:dyDescent="0.25">
      <c r="A7" s="7" t="s">
        <v>38</v>
      </c>
      <c r="B7" s="6">
        <v>4</v>
      </c>
      <c r="C7" s="6">
        <v>4</v>
      </c>
      <c r="D7" s="6">
        <v>4</v>
      </c>
      <c r="E7" s="6">
        <v>9</v>
      </c>
      <c r="F7" s="6">
        <v>14</v>
      </c>
      <c r="G7" s="6">
        <v>22</v>
      </c>
      <c r="H7" s="6">
        <v>17</v>
      </c>
      <c r="I7" s="6">
        <v>13</v>
      </c>
      <c r="J7" s="6">
        <v>13</v>
      </c>
      <c r="K7" s="6">
        <v>12</v>
      </c>
      <c r="L7" s="6">
        <v>25</v>
      </c>
      <c r="M7" s="6">
        <v>26</v>
      </c>
      <c r="N7" s="6">
        <v>26</v>
      </c>
      <c r="O7" s="6">
        <v>21</v>
      </c>
      <c r="P7" s="6">
        <v>30</v>
      </c>
      <c r="Q7" s="6">
        <v>16</v>
      </c>
      <c r="R7" s="6">
        <v>25</v>
      </c>
      <c r="S7" s="6">
        <v>22</v>
      </c>
      <c r="T7" s="6">
        <v>33</v>
      </c>
      <c r="U7" s="6">
        <v>44</v>
      </c>
      <c r="V7" s="6">
        <v>49</v>
      </c>
      <c r="W7" s="6">
        <v>62</v>
      </c>
      <c r="X7" s="6">
        <v>36</v>
      </c>
      <c r="Y7" s="6">
        <v>28</v>
      </c>
      <c r="Z7" s="6">
        <v>36</v>
      </c>
      <c r="AA7" s="6">
        <v>25</v>
      </c>
      <c r="AB7" s="6">
        <v>30</v>
      </c>
      <c r="AC7" s="6">
        <v>16</v>
      </c>
      <c r="AD7" s="6">
        <v>30</v>
      </c>
      <c r="AE7" s="6">
        <v>33</v>
      </c>
      <c r="AF7" s="6">
        <v>9</v>
      </c>
      <c r="AG7" s="6">
        <f>SUM(B7:M7)</f>
        <v>163</v>
      </c>
      <c r="AH7" s="6">
        <f t="shared" si="1"/>
        <v>392</v>
      </c>
      <c r="AI7" s="6">
        <f>SUM(Z7:AD7)</f>
        <v>137</v>
      </c>
      <c r="AJ7">
        <f t="shared" si="2"/>
        <v>555</v>
      </c>
    </row>
    <row r="8" spans="1:37" x14ac:dyDescent="0.25">
      <c r="A8" s="7" t="s">
        <v>39</v>
      </c>
      <c r="B8" s="6">
        <v>1</v>
      </c>
      <c r="C8" s="6">
        <v>1</v>
      </c>
      <c r="D8" s="6">
        <v>5</v>
      </c>
      <c r="E8" s="6">
        <v>11</v>
      </c>
      <c r="F8" s="6">
        <v>3</v>
      </c>
      <c r="G8" s="6">
        <v>6</v>
      </c>
      <c r="H8" s="6">
        <v>17</v>
      </c>
      <c r="I8" s="6">
        <v>9</v>
      </c>
      <c r="J8" s="6">
        <v>7</v>
      </c>
      <c r="K8" s="6">
        <v>14</v>
      </c>
      <c r="L8" s="6">
        <v>14</v>
      </c>
      <c r="M8" s="6">
        <v>17</v>
      </c>
      <c r="N8" s="6">
        <v>19</v>
      </c>
      <c r="O8" s="6">
        <v>12</v>
      </c>
      <c r="P8" s="6">
        <v>20</v>
      </c>
      <c r="Q8" s="6">
        <v>17</v>
      </c>
      <c r="R8" s="6">
        <v>19</v>
      </c>
      <c r="S8" s="6">
        <v>25</v>
      </c>
      <c r="T8" s="6">
        <v>21</v>
      </c>
      <c r="U8" s="6">
        <v>13</v>
      </c>
      <c r="V8" s="6">
        <v>25</v>
      </c>
      <c r="W8" s="6">
        <v>25</v>
      </c>
      <c r="X8" s="6">
        <v>24</v>
      </c>
      <c r="Y8" s="6">
        <v>14</v>
      </c>
      <c r="Z8" s="6">
        <v>21</v>
      </c>
      <c r="AA8" s="6">
        <v>17</v>
      </c>
      <c r="AB8" s="6">
        <v>18</v>
      </c>
      <c r="AC8" s="6">
        <v>16</v>
      </c>
      <c r="AD8" s="6">
        <v>19</v>
      </c>
      <c r="AE8" s="6">
        <v>13</v>
      </c>
      <c r="AF8" s="6">
        <v>4</v>
      </c>
      <c r="AG8" s="6">
        <f>SUM(B8:M8)</f>
        <v>105</v>
      </c>
      <c r="AH8" s="6">
        <f t="shared" si="1"/>
        <v>234</v>
      </c>
      <c r="AI8" s="6">
        <f>SUM(Z8:AD8)</f>
        <v>91</v>
      </c>
      <c r="AJ8">
        <f t="shared" si="2"/>
        <v>339</v>
      </c>
    </row>
    <row r="9" spans="1:37" x14ac:dyDescent="0.25">
      <c r="AH9" s="8"/>
      <c r="AI9" s="8"/>
    </row>
    <row r="10" spans="1:37" x14ac:dyDescent="0.25">
      <c r="A10" t="s">
        <v>40</v>
      </c>
      <c r="B10" s="8">
        <f>IFERROR((B5/B4),"0")</f>
        <v>0.2</v>
      </c>
      <c r="C10" s="8">
        <f t="shared" ref="C10:T10" si="3">IFERROR((C5/C4),"0")</f>
        <v>0.33333333333333331</v>
      </c>
      <c r="D10" s="8">
        <f t="shared" si="3"/>
        <v>0.63636363636363635</v>
      </c>
      <c r="E10" s="8">
        <f t="shared" si="3"/>
        <v>0.60869565217391308</v>
      </c>
      <c r="F10" s="8">
        <f t="shared" si="3"/>
        <v>0.30769230769230771</v>
      </c>
      <c r="G10" s="8">
        <f t="shared" si="3"/>
        <v>0.30232558139534882</v>
      </c>
      <c r="H10" s="8">
        <f t="shared" si="3"/>
        <v>0.54545454545454541</v>
      </c>
      <c r="I10" s="8">
        <f t="shared" si="3"/>
        <v>0.52777777777777779</v>
      </c>
      <c r="J10" s="8">
        <f t="shared" si="3"/>
        <v>0.4642857142857143</v>
      </c>
      <c r="K10" s="8">
        <f t="shared" si="3"/>
        <v>0.39240506329113922</v>
      </c>
      <c r="L10" s="8">
        <f t="shared" si="3"/>
        <v>0.32894736842105265</v>
      </c>
      <c r="M10" s="8">
        <f t="shared" si="3"/>
        <v>0.37864077669902912</v>
      </c>
      <c r="N10" s="8">
        <f t="shared" si="3"/>
        <v>0.36144578313253012</v>
      </c>
      <c r="O10" s="8">
        <f t="shared" si="3"/>
        <v>0.35526315789473684</v>
      </c>
      <c r="P10" s="8">
        <f t="shared" si="3"/>
        <v>0.33695652173913043</v>
      </c>
      <c r="Q10" s="8">
        <f t="shared" si="3"/>
        <v>0.59322033898305082</v>
      </c>
      <c r="R10" s="8">
        <f t="shared" si="3"/>
        <v>0.52631578947368418</v>
      </c>
      <c r="S10" s="8">
        <f>IFERROR((S5/S4),"0")</f>
        <v>0.47422680412371132</v>
      </c>
      <c r="T10" s="8">
        <f t="shared" si="3"/>
        <v>0.39423076923076922</v>
      </c>
      <c r="U10" s="8">
        <f>IFERROR((U5/U4),"0")</f>
        <v>0.27272727272727271</v>
      </c>
      <c r="V10" s="9">
        <f t="shared" ref="V10:AB10" si="4">IFERROR((V5/V4),"0%")</f>
        <v>0.33858267716535434</v>
      </c>
      <c r="W10" s="9">
        <f t="shared" si="4"/>
        <v>0.375</v>
      </c>
      <c r="X10" s="9">
        <f t="shared" si="4"/>
        <v>0.4152542372881356</v>
      </c>
      <c r="Y10" s="9">
        <f t="shared" si="4"/>
        <v>0.27927927927927926</v>
      </c>
      <c r="Z10" s="9">
        <f t="shared" si="4"/>
        <v>0.32743362831858408</v>
      </c>
      <c r="AA10" s="9">
        <f t="shared" si="4"/>
        <v>0.44578313253012047</v>
      </c>
      <c r="AB10" s="9">
        <f t="shared" si="4"/>
        <v>0.4823529411764706</v>
      </c>
      <c r="AC10" s="9">
        <f>IFERROR((AC5/AC4),"0%")</f>
        <v>0.56756756756756754</v>
      </c>
      <c r="AD10" s="9">
        <f>IFERROR((AD5/AD4),"0%")</f>
        <v>0.4631578947368421</v>
      </c>
      <c r="AE10" s="9">
        <f>IFERROR((AE5/AE4),"0%")</f>
        <v>0.42682926829268292</v>
      </c>
      <c r="AF10" s="9">
        <f>IFERROR((AF5/AF4),"0%")</f>
        <v>0.375</v>
      </c>
      <c r="AG10" s="8">
        <f t="shared" ref="AG10:AI10" si="5">IFERROR((AG5/AG4),"0")</f>
        <v>0.41425818882466281</v>
      </c>
      <c r="AH10" s="8">
        <f t="shared" si="5"/>
        <v>0.38285229202037352</v>
      </c>
      <c r="AI10" s="8">
        <f t="shared" si="5"/>
        <v>0.44666666666666666</v>
      </c>
      <c r="AJ10" s="10"/>
    </row>
    <row r="11" spans="1:37" x14ac:dyDescent="0.25">
      <c r="A11" t="s">
        <v>41</v>
      </c>
      <c r="B11" s="8">
        <f>IFERROR((B8/B5),"0")</f>
        <v>1</v>
      </c>
      <c r="C11" s="8">
        <f t="shared" ref="C11:AI11" si="6">IFERROR((C8/C5),"0")</f>
        <v>0.5</v>
      </c>
      <c r="D11" s="8">
        <f t="shared" si="6"/>
        <v>0.7142857142857143</v>
      </c>
      <c r="E11" s="8">
        <f t="shared" si="6"/>
        <v>0.7857142857142857</v>
      </c>
      <c r="F11" s="8">
        <f t="shared" si="6"/>
        <v>0.375</v>
      </c>
      <c r="G11" s="8">
        <f t="shared" si="6"/>
        <v>0.46153846153846156</v>
      </c>
      <c r="H11" s="8">
        <f t="shared" si="6"/>
        <v>0.56666666666666665</v>
      </c>
      <c r="I11" s="8">
        <f t="shared" si="6"/>
        <v>0.47368421052631576</v>
      </c>
      <c r="J11" s="8">
        <f t="shared" si="6"/>
        <v>0.26923076923076922</v>
      </c>
      <c r="K11" s="8">
        <f t="shared" si="6"/>
        <v>0.45161290322580644</v>
      </c>
      <c r="L11" s="8">
        <f t="shared" si="6"/>
        <v>0.56000000000000005</v>
      </c>
      <c r="M11" s="8">
        <f t="shared" si="6"/>
        <v>0.4358974358974359</v>
      </c>
      <c r="N11" s="8">
        <f t="shared" si="6"/>
        <v>0.6333333333333333</v>
      </c>
      <c r="O11" s="8">
        <f t="shared" si="6"/>
        <v>0.44444444444444442</v>
      </c>
      <c r="P11" s="8">
        <f t="shared" si="6"/>
        <v>0.64516129032258063</v>
      </c>
      <c r="Q11" s="8">
        <f t="shared" si="6"/>
        <v>0.48571428571428571</v>
      </c>
      <c r="R11" s="8">
        <f t="shared" si="6"/>
        <v>0.47499999999999998</v>
      </c>
      <c r="S11" s="8">
        <f t="shared" si="6"/>
        <v>0.54347826086956519</v>
      </c>
      <c r="T11" s="8">
        <f t="shared" si="6"/>
        <v>0.51219512195121952</v>
      </c>
      <c r="U11" s="8">
        <f t="shared" si="6"/>
        <v>0.48148148148148145</v>
      </c>
      <c r="V11" s="8">
        <f t="shared" si="6"/>
        <v>0.58139534883720934</v>
      </c>
      <c r="W11" s="8">
        <f t="shared" si="6"/>
        <v>0.49019607843137253</v>
      </c>
      <c r="X11" s="8">
        <f t="shared" si="6"/>
        <v>0.48979591836734693</v>
      </c>
      <c r="Y11" s="8">
        <f t="shared" si="6"/>
        <v>0.45161290322580644</v>
      </c>
      <c r="Z11" s="8">
        <f t="shared" si="6"/>
        <v>0.56756756756756754</v>
      </c>
      <c r="AA11" s="8">
        <f t="shared" si="6"/>
        <v>0.45945945945945948</v>
      </c>
      <c r="AB11" s="8">
        <f t="shared" si="6"/>
        <v>0.43902439024390244</v>
      </c>
      <c r="AC11" s="8">
        <f t="shared" si="6"/>
        <v>0.38095238095238093</v>
      </c>
      <c r="AD11" s="8">
        <f t="shared" si="6"/>
        <v>0.43181818181818182</v>
      </c>
      <c r="AE11" s="8">
        <f t="shared" si="6"/>
        <v>0.37142857142857144</v>
      </c>
      <c r="AF11" s="8">
        <f t="shared" si="6"/>
        <v>0.33333333333333331</v>
      </c>
      <c r="AG11" s="8">
        <f t="shared" si="6"/>
        <v>0.48837209302325579</v>
      </c>
      <c r="AH11" s="8">
        <f t="shared" si="6"/>
        <v>0.51884700665188466</v>
      </c>
      <c r="AI11" s="8">
        <f t="shared" si="6"/>
        <v>0.45273631840796019</v>
      </c>
      <c r="AJ11" s="10"/>
    </row>
    <row r="12" spans="1:37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8"/>
      <c r="AH12" s="8"/>
      <c r="AI12" s="8"/>
      <c r="AJ12" s="10"/>
    </row>
    <row r="13" spans="1:37" x14ac:dyDescent="0.25">
      <c r="A13" s="39" t="s">
        <v>42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J13" s="10"/>
    </row>
    <row r="14" spans="1:3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0"/>
    </row>
    <row r="15" spans="1:37" x14ac:dyDescent="0.25">
      <c r="A15" s="13" t="s">
        <v>43</v>
      </c>
      <c r="B15" s="14">
        <f t="shared" ref="B15:AB15" si="7">SUM(B17:B30)</f>
        <v>0</v>
      </c>
      <c r="C15" s="14">
        <f t="shared" si="7"/>
        <v>0</v>
      </c>
      <c r="D15" s="14">
        <f t="shared" si="7"/>
        <v>0</v>
      </c>
      <c r="E15" s="14">
        <f t="shared" si="7"/>
        <v>0</v>
      </c>
      <c r="F15" s="14">
        <f t="shared" si="7"/>
        <v>0</v>
      </c>
      <c r="G15" s="14">
        <f t="shared" si="7"/>
        <v>0</v>
      </c>
      <c r="H15" s="14">
        <f t="shared" si="7"/>
        <v>0</v>
      </c>
      <c r="I15" s="14">
        <f t="shared" si="7"/>
        <v>0</v>
      </c>
      <c r="J15" s="14">
        <f t="shared" si="7"/>
        <v>51</v>
      </c>
      <c r="K15" s="14">
        <f t="shared" si="7"/>
        <v>81</v>
      </c>
      <c r="L15" s="14">
        <f t="shared" si="7"/>
        <v>76</v>
      </c>
      <c r="M15" s="14">
        <f t="shared" si="7"/>
        <v>103</v>
      </c>
      <c r="N15" s="14">
        <f t="shared" si="7"/>
        <v>83</v>
      </c>
      <c r="O15" s="14">
        <f t="shared" si="7"/>
        <v>76</v>
      </c>
      <c r="P15" s="14">
        <f t="shared" si="7"/>
        <v>90</v>
      </c>
      <c r="Q15" s="14">
        <f t="shared" si="7"/>
        <v>59</v>
      </c>
      <c r="R15" s="14">
        <f t="shared" si="7"/>
        <v>76</v>
      </c>
      <c r="S15" s="14">
        <f t="shared" si="7"/>
        <v>97</v>
      </c>
      <c r="T15" s="14">
        <f t="shared" si="7"/>
        <v>104</v>
      </c>
      <c r="U15" s="14">
        <f t="shared" si="7"/>
        <v>99</v>
      </c>
      <c r="V15" s="14">
        <f t="shared" si="7"/>
        <v>127</v>
      </c>
      <c r="W15" s="14">
        <f t="shared" si="7"/>
        <v>136</v>
      </c>
      <c r="X15" s="14">
        <f t="shared" si="7"/>
        <v>118</v>
      </c>
      <c r="Y15" s="14">
        <f t="shared" si="7"/>
        <v>111</v>
      </c>
      <c r="Z15" s="14">
        <f t="shared" si="7"/>
        <v>113</v>
      </c>
      <c r="AA15" s="14">
        <f t="shared" si="7"/>
        <v>83</v>
      </c>
      <c r="AB15" s="14">
        <f t="shared" si="7"/>
        <v>85</v>
      </c>
      <c r="AC15" s="14">
        <f>SUM(AC17:AC30)</f>
        <v>74</v>
      </c>
      <c r="AD15" s="14">
        <f>SUM(AD18:AD31)</f>
        <v>95</v>
      </c>
      <c r="AE15" s="14">
        <f>SUM(AE17:AE31)</f>
        <v>82</v>
      </c>
      <c r="AF15" s="14">
        <f>SUM(AF17:AF31)</f>
        <v>32</v>
      </c>
      <c r="AG15" s="15" t="s">
        <v>44</v>
      </c>
      <c r="AH15" s="15" t="s">
        <v>45</v>
      </c>
      <c r="AI15" s="15"/>
      <c r="AJ15" s="14"/>
      <c r="AK15" s="14"/>
    </row>
    <row r="16" spans="1:37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5"/>
      <c r="AH16" s="16">
        <f>SUM(AH17:AH30)</f>
        <v>1.0632452047693104</v>
      </c>
      <c r="AI16" s="15"/>
      <c r="AJ16" s="14"/>
      <c r="AK16" s="14"/>
    </row>
    <row r="17" spans="1:37" x14ac:dyDescent="0.25">
      <c r="A17" s="17" t="s">
        <v>46</v>
      </c>
      <c r="B17" s="18" t="s">
        <v>47</v>
      </c>
      <c r="C17" s="18" t="s">
        <v>47</v>
      </c>
      <c r="D17" s="18" t="s">
        <v>47</v>
      </c>
      <c r="E17" s="18" t="s">
        <v>47</v>
      </c>
      <c r="F17" s="18" t="s">
        <v>47</v>
      </c>
      <c r="G17" s="18" t="s">
        <v>47</v>
      </c>
      <c r="H17" s="18" t="s">
        <v>47</v>
      </c>
      <c r="I17" s="18" t="s">
        <v>47</v>
      </c>
      <c r="J17" s="18" t="s">
        <v>47</v>
      </c>
      <c r="K17" s="18" t="s">
        <v>47</v>
      </c>
      <c r="L17" s="18" t="s">
        <v>47</v>
      </c>
      <c r="M17" s="18" t="s">
        <v>47</v>
      </c>
      <c r="N17" s="18" t="s">
        <v>47</v>
      </c>
      <c r="O17" s="18" t="s">
        <v>47</v>
      </c>
      <c r="P17" s="18" t="s">
        <v>47</v>
      </c>
      <c r="Q17" s="18" t="s">
        <v>47</v>
      </c>
      <c r="R17" s="18" t="s">
        <v>47</v>
      </c>
      <c r="S17" s="18">
        <v>1</v>
      </c>
      <c r="T17" s="18" t="s">
        <v>47</v>
      </c>
      <c r="U17" s="19" t="s">
        <v>47</v>
      </c>
      <c r="V17" s="18" t="s">
        <v>47</v>
      </c>
      <c r="W17" s="19"/>
      <c r="X17" s="19"/>
      <c r="Y17" s="18"/>
      <c r="Z17" s="19"/>
      <c r="AA17" s="19"/>
      <c r="AB17" s="19"/>
      <c r="AC17" s="19"/>
      <c r="AD17" s="20"/>
      <c r="AE17" s="21"/>
      <c r="AF17" s="21"/>
      <c r="AG17" s="22">
        <f>SUM(J17:AF17)</f>
        <v>1</v>
      </c>
      <c r="AH17" s="8">
        <f>(AG17)/(SUM($AG$19:$AG$32))</f>
        <v>5.184033177812338E-4</v>
      </c>
      <c r="AI17" s="8"/>
      <c r="AJ17" s="14"/>
      <c r="AK17" s="14"/>
    </row>
    <row r="18" spans="1:37" x14ac:dyDescent="0.25">
      <c r="A18" s="23" t="s">
        <v>48</v>
      </c>
      <c r="B18" s="24" t="s">
        <v>47</v>
      </c>
      <c r="C18" s="24" t="s">
        <v>47</v>
      </c>
      <c r="D18" s="24" t="s">
        <v>47</v>
      </c>
      <c r="E18" s="24" t="s">
        <v>47</v>
      </c>
      <c r="F18" s="24" t="s">
        <v>47</v>
      </c>
      <c r="G18" s="24" t="s">
        <v>47</v>
      </c>
      <c r="H18" s="24" t="s">
        <v>47</v>
      </c>
      <c r="I18" s="24" t="s">
        <v>47</v>
      </c>
      <c r="J18" s="24">
        <v>18</v>
      </c>
      <c r="K18" s="24">
        <v>23</v>
      </c>
      <c r="L18" s="24">
        <v>37</v>
      </c>
      <c r="M18" s="24">
        <v>42</v>
      </c>
      <c r="N18" s="24" t="s">
        <v>47</v>
      </c>
      <c r="O18" s="24" t="s">
        <v>47</v>
      </c>
      <c r="P18" s="24" t="s">
        <v>47</v>
      </c>
      <c r="Q18" s="24" t="s">
        <v>47</v>
      </c>
      <c r="R18" s="24" t="s">
        <v>47</v>
      </c>
      <c r="S18" s="24"/>
      <c r="T18" s="24">
        <v>1</v>
      </c>
      <c r="U18" s="25" t="s">
        <v>47</v>
      </c>
      <c r="V18" s="18" t="s">
        <v>47</v>
      </c>
      <c r="W18" s="19"/>
      <c r="X18" s="19"/>
      <c r="Y18" s="18"/>
      <c r="Z18" s="19"/>
      <c r="AA18" s="19"/>
      <c r="AB18" s="18"/>
      <c r="AC18" s="25"/>
      <c r="AD18" s="19"/>
      <c r="AE18" s="18"/>
      <c r="AF18" s="18"/>
      <c r="AG18" s="22">
        <f t="shared" ref="AG18:AG30" si="8">SUM(J18:AF18)</f>
        <v>121</v>
      </c>
      <c r="AH18" s="8">
        <f t="shared" ref="AH18:AH30" si="9">(AG18)/(SUM($AG$19:$AG$32))</f>
        <v>6.2726801451529285E-2</v>
      </c>
      <c r="AI18" s="8"/>
      <c r="AJ18" s="14"/>
      <c r="AK18" s="14"/>
    </row>
    <row r="19" spans="1:37" x14ac:dyDescent="0.25">
      <c r="A19" s="17" t="s">
        <v>49</v>
      </c>
      <c r="B19" s="18" t="s">
        <v>47</v>
      </c>
      <c r="C19" s="18" t="s">
        <v>47</v>
      </c>
      <c r="D19" s="18" t="s">
        <v>47</v>
      </c>
      <c r="E19" s="18" t="s">
        <v>47</v>
      </c>
      <c r="F19" s="18" t="s">
        <v>47</v>
      </c>
      <c r="G19" s="18" t="s">
        <v>47</v>
      </c>
      <c r="H19" s="18" t="s">
        <v>47</v>
      </c>
      <c r="I19" s="18" t="s">
        <v>47</v>
      </c>
      <c r="J19" s="18">
        <v>1</v>
      </c>
      <c r="K19" s="18">
        <v>1</v>
      </c>
      <c r="L19" s="18">
        <v>2</v>
      </c>
      <c r="M19" s="18">
        <v>4</v>
      </c>
      <c r="N19" s="18">
        <v>31</v>
      </c>
      <c r="O19" s="18">
        <v>41</v>
      </c>
      <c r="P19" s="18">
        <v>31</v>
      </c>
      <c r="Q19" s="18">
        <v>16</v>
      </c>
      <c r="R19" s="18">
        <v>44</v>
      </c>
      <c r="S19" s="18">
        <v>47</v>
      </c>
      <c r="T19" s="18">
        <v>58</v>
      </c>
      <c r="U19" s="19">
        <v>48</v>
      </c>
      <c r="V19" s="18">
        <v>62</v>
      </c>
      <c r="W19" s="19">
        <v>74</v>
      </c>
      <c r="X19" s="19">
        <v>50</v>
      </c>
      <c r="Y19" s="18">
        <v>69</v>
      </c>
      <c r="Z19" s="19">
        <v>53</v>
      </c>
      <c r="AA19" s="19">
        <v>33</v>
      </c>
      <c r="AB19" s="18">
        <v>33</v>
      </c>
      <c r="AC19" s="19">
        <v>33</v>
      </c>
      <c r="AD19" s="19">
        <v>34</v>
      </c>
      <c r="AE19" s="18">
        <v>15</v>
      </c>
      <c r="AF19" s="18">
        <v>10</v>
      </c>
      <c r="AG19" s="22">
        <f t="shared" si="8"/>
        <v>790</v>
      </c>
      <c r="AH19" s="8">
        <f t="shared" si="9"/>
        <v>0.4095386210471747</v>
      </c>
      <c r="AI19" s="8"/>
      <c r="AJ19" s="14"/>
      <c r="AK19" s="14"/>
    </row>
    <row r="20" spans="1:37" x14ac:dyDescent="0.25">
      <c r="A20" s="17" t="s">
        <v>50</v>
      </c>
      <c r="B20" s="18" t="s">
        <v>47</v>
      </c>
      <c r="C20" s="18" t="s">
        <v>47</v>
      </c>
      <c r="D20" s="18" t="s">
        <v>47</v>
      </c>
      <c r="E20" s="18" t="s">
        <v>47</v>
      </c>
      <c r="F20" s="18" t="s">
        <v>47</v>
      </c>
      <c r="G20" s="18" t="s">
        <v>47</v>
      </c>
      <c r="H20" s="18" t="s">
        <v>47</v>
      </c>
      <c r="I20" s="18" t="s">
        <v>47</v>
      </c>
      <c r="J20" s="18">
        <v>12</v>
      </c>
      <c r="K20" s="18">
        <v>25</v>
      </c>
      <c r="L20" s="18">
        <v>10</v>
      </c>
      <c r="M20" s="18">
        <v>14</v>
      </c>
      <c r="N20" s="18">
        <v>4</v>
      </c>
      <c r="O20" s="18">
        <v>7</v>
      </c>
      <c r="P20" s="18">
        <v>3</v>
      </c>
      <c r="Q20" s="18">
        <v>3</v>
      </c>
      <c r="R20" s="18">
        <v>9</v>
      </c>
      <c r="S20" s="18">
        <v>3</v>
      </c>
      <c r="T20" s="18">
        <v>6</v>
      </c>
      <c r="U20" s="19">
        <v>2</v>
      </c>
      <c r="V20" s="18">
        <v>6</v>
      </c>
      <c r="W20" s="19">
        <v>10</v>
      </c>
      <c r="X20" s="19">
        <v>16</v>
      </c>
      <c r="Y20" s="18">
        <v>6</v>
      </c>
      <c r="Z20" s="19">
        <v>7</v>
      </c>
      <c r="AA20" s="19">
        <v>10</v>
      </c>
      <c r="AB20" s="18">
        <v>12</v>
      </c>
      <c r="AC20" s="19">
        <v>7</v>
      </c>
      <c r="AD20" s="19">
        <v>11</v>
      </c>
      <c r="AE20" s="18">
        <v>16</v>
      </c>
      <c r="AF20" s="18">
        <v>3</v>
      </c>
      <c r="AG20" s="22">
        <f t="shared" si="8"/>
        <v>202</v>
      </c>
      <c r="AH20" s="8">
        <f t="shared" si="9"/>
        <v>0.10471747019180923</v>
      </c>
      <c r="AI20" s="8"/>
      <c r="AJ20" s="14"/>
      <c r="AK20" s="14"/>
    </row>
    <row r="21" spans="1:37" x14ac:dyDescent="0.25">
      <c r="A21" s="17" t="s">
        <v>51</v>
      </c>
      <c r="B21" s="18" t="s">
        <v>47</v>
      </c>
      <c r="C21" s="18" t="s">
        <v>47</v>
      </c>
      <c r="D21" s="18" t="s">
        <v>47</v>
      </c>
      <c r="E21" s="18" t="s">
        <v>47</v>
      </c>
      <c r="F21" s="18" t="s">
        <v>47</v>
      </c>
      <c r="G21" s="18" t="s">
        <v>47</v>
      </c>
      <c r="H21" s="18" t="s">
        <v>47</v>
      </c>
      <c r="I21" s="18" t="s">
        <v>47</v>
      </c>
      <c r="J21" s="18" t="s">
        <v>47</v>
      </c>
      <c r="K21" s="18" t="s">
        <v>47</v>
      </c>
      <c r="L21" s="18" t="s">
        <v>47</v>
      </c>
      <c r="M21" s="18" t="s">
        <v>47</v>
      </c>
      <c r="N21" s="18">
        <v>13</v>
      </c>
      <c r="O21" s="18">
        <v>7</v>
      </c>
      <c r="P21" s="18">
        <v>7</v>
      </c>
      <c r="Q21" s="18">
        <v>1</v>
      </c>
      <c r="R21" s="18">
        <v>4</v>
      </c>
      <c r="S21" s="18">
        <v>6</v>
      </c>
      <c r="T21" s="18">
        <v>3</v>
      </c>
      <c r="U21" s="19">
        <v>9</v>
      </c>
      <c r="V21" s="18">
        <v>11</v>
      </c>
      <c r="W21" s="19">
        <v>3</v>
      </c>
      <c r="X21" s="19">
        <v>18</v>
      </c>
      <c r="Y21" s="18">
        <v>22</v>
      </c>
      <c r="Z21" s="19">
        <v>9</v>
      </c>
      <c r="AA21" s="19">
        <v>4</v>
      </c>
      <c r="AB21" s="18">
        <v>3</v>
      </c>
      <c r="AC21" s="19">
        <v>1</v>
      </c>
      <c r="AD21" s="19">
        <v>8</v>
      </c>
      <c r="AE21" s="18">
        <v>8</v>
      </c>
      <c r="AF21" s="18">
        <v>7</v>
      </c>
      <c r="AG21" s="22">
        <f t="shared" si="8"/>
        <v>144</v>
      </c>
      <c r="AH21" s="8">
        <f t="shared" si="9"/>
        <v>7.4650077760497674E-2</v>
      </c>
      <c r="AI21" s="8"/>
      <c r="AJ21" s="14"/>
      <c r="AK21" s="14"/>
    </row>
    <row r="22" spans="1:37" x14ac:dyDescent="0.25">
      <c r="A22" s="17" t="s">
        <v>52</v>
      </c>
      <c r="B22" s="18" t="s">
        <v>47</v>
      </c>
      <c r="C22" s="18" t="s">
        <v>47</v>
      </c>
      <c r="D22" s="18" t="s">
        <v>47</v>
      </c>
      <c r="E22" s="18" t="s">
        <v>47</v>
      </c>
      <c r="F22" s="18" t="s">
        <v>47</v>
      </c>
      <c r="G22" s="18" t="s">
        <v>47</v>
      </c>
      <c r="H22" s="18" t="s">
        <v>47</v>
      </c>
      <c r="I22" s="18" t="s">
        <v>47</v>
      </c>
      <c r="J22" s="18"/>
      <c r="K22" s="18">
        <v>1</v>
      </c>
      <c r="L22" s="18"/>
      <c r="M22" s="18"/>
      <c r="N22" s="18"/>
      <c r="O22" s="18">
        <v>1</v>
      </c>
      <c r="P22" s="18" t="s">
        <v>47</v>
      </c>
      <c r="Q22" s="18" t="s">
        <v>47</v>
      </c>
      <c r="R22" s="18" t="s">
        <v>47</v>
      </c>
      <c r="S22" s="18" t="s">
        <v>47</v>
      </c>
      <c r="T22" s="18" t="s">
        <v>47</v>
      </c>
      <c r="U22" s="19" t="s">
        <v>47</v>
      </c>
      <c r="V22" s="18" t="s">
        <v>47</v>
      </c>
      <c r="W22" s="19"/>
      <c r="X22" s="19"/>
      <c r="Y22" s="18"/>
      <c r="Z22" s="19"/>
      <c r="AA22" s="19"/>
      <c r="AB22" s="18"/>
      <c r="AC22" s="19"/>
      <c r="AD22" s="19"/>
      <c r="AE22" s="18"/>
      <c r="AF22" s="18"/>
      <c r="AG22" s="22">
        <f t="shared" si="8"/>
        <v>2</v>
      </c>
      <c r="AH22" s="8">
        <f t="shared" si="9"/>
        <v>1.0368066355624676E-3</v>
      </c>
      <c r="AI22" s="8"/>
      <c r="AJ22" s="14"/>
      <c r="AK22" s="14"/>
    </row>
    <row r="23" spans="1:37" x14ac:dyDescent="0.25">
      <c r="A23" s="17" t="s">
        <v>53</v>
      </c>
      <c r="B23" s="18" t="s">
        <v>47</v>
      </c>
      <c r="C23" s="18" t="s">
        <v>47</v>
      </c>
      <c r="D23" s="18" t="s">
        <v>47</v>
      </c>
      <c r="E23" s="18" t="s">
        <v>47</v>
      </c>
      <c r="F23" s="18" t="s">
        <v>47</v>
      </c>
      <c r="G23" s="18" t="s">
        <v>47</v>
      </c>
      <c r="H23" s="18" t="s">
        <v>47</v>
      </c>
      <c r="I23" s="18" t="s">
        <v>47</v>
      </c>
      <c r="J23" s="18" t="s">
        <v>47</v>
      </c>
      <c r="K23" s="18" t="s">
        <v>47</v>
      </c>
      <c r="L23" s="18" t="s">
        <v>47</v>
      </c>
      <c r="M23" s="18" t="s">
        <v>47</v>
      </c>
      <c r="N23" s="18" t="s">
        <v>47</v>
      </c>
      <c r="O23" s="18"/>
      <c r="P23" s="18" t="s">
        <v>47</v>
      </c>
      <c r="Q23" s="18" t="s">
        <v>47</v>
      </c>
      <c r="R23" s="18" t="s">
        <v>47</v>
      </c>
      <c r="S23" s="18" t="s">
        <v>47</v>
      </c>
      <c r="T23" s="18" t="s">
        <v>47</v>
      </c>
      <c r="U23" s="26" t="s">
        <v>47</v>
      </c>
      <c r="V23" s="27" t="s">
        <v>47</v>
      </c>
      <c r="W23" s="26"/>
      <c r="X23" s="19"/>
      <c r="Y23" s="18"/>
      <c r="Z23" s="19"/>
      <c r="AA23" s="19"/>
      <c r="AB23" s="18"/>
      <c r="AC23" s="19"/>
      <c r="AD23" s="19"/>
      <c r="AE23" s="18"/>
      <c r="AF23" s="18"/>
      <c r="AG23" s="22">
        <f t="shared" si="8"/>
        <v>0</v>
      </c>
      <c r="AH23" s="8">
        <f t="shared" si="9"/>
        <v>0</v>
      </c>
      <c r="AI23" s="8"/>
      <c r="AJ23" s="14"/>
      <c r="AK23" s="14"/>
    </row>
    <row r="24" spans="1:37" x14ac:dyDescent="0.25">
      <c r="A24" s="28" t="s">
        <v>54</v>
      </c>
      <c r="B24" s="27" t="s">
        <v>47</v>
      </c>
      <c r="C24" s="27" t="s">
        <v>47</v>
      </c>
      <c r="D24" s="27" t="s">
        <v>47</v>
      </c>
      <c r="E24" s="27" t="s">
        <v>47</v>
      </c>
      <c r="F24" s="27" t="s">
        <v>47</v>
      </c>
      <c r="G24" s="27" t="s">
        <v>47</v>
      </c>
      <c r="H24" s="27" t="s">
        <v>47</v>
      </c>
      <c r="I24" s="27" t="s">
        <v>47</v>
      </c>
      <c r="J24" s="27" t="s">
        <v>47</v>
      </c>
      <c r="K24" s="27" t="s">
        <v>47</v>
      </c>
      <c r="L24" s="27" t="s">
        <v>47</v>
      </c>
      <c r="M24" s="27" t="s">
        <v>47</v>
      </c>
      <c r="N24" s="27" t="s">
        <v>47</v>
      </c>
      <c r="O24" s="27">
        <v>4</v>
      </c>
      <c r="P24" s="27">
        <v>9</v>
      </c>
      <c r="Q24" s="27">
        <v>10</v>
      </c>
      <c r="R24" s="27">
        <v>8</v>
      </c>
      <c r="S24" s="27">
        <v>10</v>
      </c>
      <c r="T24" s="26">
        <v>10</v>
      </c>
      <c r="U24" s="27">
        <v>6</v>
      </c>
      <c r="V24" s="27">
        <v>14</v>
      </c>
      <c r="W24" s="26">
        <v>11</v>
      </c>
      <c r="X24" s="26">
        <v>15</v>
      </c>
      <c r="Y24" s="27">
        <v>3</v>
      </c>
      <c r="Z24" s="26">
        <v>12</v>
      </c>
      <c r="AA24" s="26">
        <v>12</v>
      </c>
      <c r="AB24" s="27">
        <v>9</v>
      </c>
      <c r="AC24" s="26">
        <v>5</v>
      </c>
      <c r="AD24" s="19">
        <v>11</v>
      </c>
      <c r="AE24" s="18">
        <v>6</v>
      </c>
      <c r="AF24" s="18">
        <v>1</v>
      </c>
      <c r="AG24" s="22">
        <f t="shared" si="8"/>
        <v>156</v>
      </c>
      <c r="AH24" s="8">
        <f t="shared" si="9"/>
        <v>8.0870917573872478E-2</v>
      </c>
      <c r="AI24" s="8"/>
      <c r="AJ24" s="14"/>
      <c r="AK24" s="14"/>
    </row>
    <row r="25" spans="1:37" x14ac:dyDescent="0.25">
      <c r="A25" s="17" t="s">
        <v>55</v>
      </c>
      <c r="B25" s="18" t="s">
        <v>47</v>
      </c>
      <c r="C25" s="18" t="s">
        <v>47</v>
      </c>
      <c r="D25" s="18" t="s">
        <v>47</v>
      </c>
      <c r="E25" s="18" t="s">
        <v>47</v>
      </c>
      <c r="F25" s="18" t="s">
        <v>47</v>
      </c>
      <c r="G25" s="18" t="s">
        <v>47</v>
      </c>
      <c r="H25" s="18" t="s">
        <v>47</v>
      </c>
      <c r="I25" s="18" t="s">
        <v>47</v>
      </c>
      <c r="J25" s="29">
        <v>19</v>
      </c>
      <c r="K25" s="29">
        <v>31</v>
      </c>
      <c r="L25" s="29">
        <v>27</v>
      </c>
      <c r="M25" s="29">
        <v>42</v>
      </c>
      <c r="N25" s="18" t="s">
        <v>47</v>
      </c>
      <c r="O25" s="18" t="s">
        <v>47</v>
      </c>
      <c r="P25" s="18" t="s">
        <v>47</v>
      </c>
      <c r="Q25" s="18" t="s">
        <v>47</v>
      </c>
      <c r="R25" s="18" t="s">
        <v>47</v>
      </c>
      <c r="S25" s="18"/>
      <c r="T25" s="18">
        <v>4</v>
      </c>
      <c r="U25" s="18">
        <v>1</v>
      </c>
      <c r="V25" s="18">
        <v>5</v>
      </c>
      <c r="W25" s="18">
        <v>4</v>
      </c>
      <c r="X25" s="18">
        <v>1</v>
      </c>
      <c r="Y25" s="18"/>
      <c r="Z25" s="18">
        <v>1</v>
      </c>
      <c r="AA25" s="18"/>
      <c r="AB25" s="18"/>
      <c r="AC25" s="19"/>
      <c r="AD25" s="19"/>
      <c r="AE25" s="18"/>
      <c r="AF25" s="18"/>
      <c r="AG25" s="22">
        <f t="shared" si="8"/>
        <v>135</v>
      </c>
      <c r="AH25" s="8">
        <f t="shared" si="9"/>
        <v>6.9984447900466568E-2</v>
      </c>
      <c r="AI25" s="8"/>
      <c r="AJ25" s="14"/>
      <c r="AK25" s="14"/>
    </row>
    <row r="26" spans="1:37" x14ac:dyDescent="0.25">
      <c r="A26" s="17" t="s">
        <v>56</v>
      </c>
      <c r="B26" s="18" t="s">
        <v>47</v>
      </c>
      <c r="C26" s="18" t="s">
        <v>47</v>
      </c>
      <c r="D26" s="18" t="s">
        <v>47</v>
      </c>
      <c r="E26" s="18" t="s">
        <v>47</v>
      </c>
      <c r="F26" s="18" t="s">
        <v>47</v>
      </c>
      <c r="G26" s="18" t="s">
        <v>47</v>
      </c>
      <c r="H26" s="18" t="s">
        <v>47</v>
      </c>
      <c r="I26" s="18" t="s">
        <v>47</v>
      </c>
      <c r="J26" s="18">
        <v>1</v>
      </c>
      <c r="K26" s="18" t="s">
        <v>47</v>
      </c>
      <c r="L26" s="18" t="s">
        <v>47</v>
      </c>
      <c r="M26" s="18">
        <v>1</v>
      </c>
      <c r="N26" s="29">
        <v>35</v>
      </c>
      <c r="O26" s="29">
        <v>13</v>
      </c>
      <c r="P26" s="29">
        <v>40</v>
      </c>
      <c r="Q26" s="29">
        <v>29</v>
      </c>
      <c r="R26" s="29">
        <v>9</v>
      </c>
      <c r="S26" s="29">
        <v>30</v>
      </c>
      <c r="T26" s="29">
        <v>22</v>
      </c>
      <c r="U26" s="29">
        <v>31</v>
      </c>
      <c r="V26" s="29">
        <v>27</v>
      </c>
      <c r="W26" s="29">
        <v>32</v>
      </c>
      <c r="X26" s="29">
        <v>16</v>
      </c>
      <c r="Y26" s="29">
        <v>11</v>
      </c>
      <c r="Z26" s="29">
        <v>26</v>
      </c>
      <c r="AA26" s="29">
        <v>18</v>
      </c>
      <c r="AB26" s="29">
        <v>25</v>
      </c>
      <c r="AC26" s="30">
        <v>21</v>
      </c>
      <c r="AD26" s="19">
        <v>18</v>
      </c>
      <c r="AE26" s="18">
        <v>30</v>
      </c>
      <c r="AF26" s="18">
        <v>7</v>
      </c>
      <c r="AG26" s="22">
        <f t="shared" si="8"/>
        <v>442</v>
      </c>
      <c r="AH26" s="8">
        <f t="shared" si="9"/>
        <v>0.22913426645930535</v>
      </c>
      <c r="AI26" s="8"/>
      <c r="AJ26" s="31"/>
      <c r="AK26" s="14"/>
    </row>
    <row r="27" spans="1:37" x14ac:dyDescent="0.25">
      <c r="A27" s="17" t="s">
        <v>57</v>
      </c>
      <c r="B27" s="18" t="s">
        <v>47</v>
      </c>
      <c r="C27" s="18" t="s">
        <v>47</v>
      </c>
      <c r="D27" s="18" t="s">
        <v>47</v>
      </c>
      <c r="E27" s="18" t="s">
        <v>47</v>
      </c>
      <c r="F27" s="18" t="s">
        <v>47</v>
      </c>
      <c r="G27" s="18" t="s">
        <v>47</v>
      </c>
      <c r="H27" s="18" t="s">
        <v>47</v>
      </c>
      <c r="I27" s="18" t="s">
        <v>47</v>
      </c>
      <c r="J27" s="18" t="s">
        <v>47</v>
      </c>
      <c r="K27" s="18" t="s">
        <v>47</v>
      </c>
      <c r="L27" s="18" t="s">
        <v>47</v>
      </c>
      <c r="M27" s="18" t="s">
        <v>47</v>
      </c>
      <c r="N27" s="18" t="s">
        <v>47</v>
      </c>
      <c r="O27" s="18">
        <v>3</v>
      </c>
      <c r="P27" s="18"/>
      <c r="Q27" s="18"/>
      <c r="R27" s="18">
        <v>2</v>
      </c>
      <c r="S27" s="18"/>
      <c r="T27" s="18"/>
      <c r="U27" s="18">
        <v>2</v>
      </c>
      <c r="V27" s="18">
        <v>2</v>
      </c>
      <c r="W27" s="18">
        <v>2</v>
      </c>
      <c r="X27" s="18">
        <v>2</v>
      </c>
      <c r="Y27" s="18"/>
      <c r="Z27" s="18">
        <v>3</v>
      </c>
      <c r="AA27" s="18">
        <v>2</v>
      </c>
      <c r="AB27" s="18">
        <v>1</v>
      </c>
      <c r="AC27" s="19">
        <v>3</v>
      </c>
      <c r="AD27" s="30">
        <v>9</v>
      </c>
      <c r="AE27" s="29">
        <v>6</v>
      </c>
      <c r="AF27" s="29">
        <v>4</v>
      </c>
      <c r="AG27" s="22">
        <f t="shared" si="8"/>
        <v>41</v>
      </c>
      <c r="AH27" s="8">
        <f t="shared" si="9"/>
        <v>2.1254536029030584E-2</v>
      </c>
      <c r="AI27" s="8"/>
      <c r="AJ27" s="14"/>
      <c r="AK27" s="14"/>
    </row>
    <row r="28" spans="1:37" x14ac:dyDescent="0.25">
      <c r="A28" s="5" t="s">
        <v>58</v>
      </c>
      <c r="B28" s="18" t="s">
        <v>47</v>
      </c>
      <c r="C28" s="18" t="s">
        <v>47</v>
      </c>
      <c r="D28" s="18" t="s">
        <v>47</v>
      </c>
      <c r="E28" s="18" t="s">
        <v>47</v>
      </c>
      <c r="F28" s="18" t="s">
        <v>47</v>
      </c>
      <c r="G28" s="18" t="s">
        <v>47</v>
      </c>
      <c r="H28" s="18" t="s">
        <v>47</v>
      </c>
      <c r="I28" s="18" t="s">
        <v>47</v>
      </c>
      <c r="J28" s="18" t="s">
        <v>47</v>
      </c>
      <c r="K28" s="18" t="s">
        <v>47</v>
      </c>
      <c r="L28" s="18" t="s">
        <v>47</v>
      </c>
      <c r="M28" s="18" t="s">
        <v>47</v>
      </c>
      <c r="N28" s="18" t="s">
        <v>47</v>
      </c>
      <c r="O28" s="18" t="s">
        <v>47</v>
      </c>
      <c r="P28" s="18" t="s">
        <v>47</v>
      </c>
      <c r="Q28" s="18" t="s">
        <v>47</v>
      </c>
      <c r="R28" s="18" t="s">
        <v>47</v>
      </c>
      <c r="S28" s="18" t="s">
        <v>47</v>
      </c>
      <c r="T28" s="18" t="s">
        <v>47</v>
      </c>
      <c r="U28" s="18" t="s">
        <v>47</v>
      </c>
      <c r="V28" s="18" t="s">
        <v>47</v>
      </c>
      <c r="W28" s="18" t="s">
        <v>47</v>
      </c>
      <c r="X28" s="18" t="s">
        <v>47</v>
      </c>
      <c r="Y28" s="18" t="s">
        <v>47</v>
      </c>
      <c r="Z28" s="11">
        <v>2</v>
      </c>
      <c r="AA28" s="11">
        <v>4</v>
      </c>
      <c r="AB28" s="11">
        <v>1</v>
      </c>
      <c r="AC28" s="32"/>
      <c r="AD28" s="19"/>
      <c r="AE28" s="18"/>
      <c r="AF28" s="18"/>
      <c r="AG28" s="22">
        <f t="shared" si="8"/>
        <v>7</v>
      </c>
      <c r="AH28" s="8">
        <f t="shared" si="9"/>
        <v>3.6288232244686366E-3</v>
      </c>
    </row>
    <row r="29" spans="1:37" x14ac:dyDescent="0.25">
      <c r="A29" s="5" t="s">
        <v>59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1"/>
      <c r="AA29" s="11"/>
      <c r="AB29" s="11">
        <v>1</v>
      </c>
      <c r="AC29" s="32"/>
      <c r="AD29" s="32"/>
      <c r="AE29" s="11"/>
      <c r="AF29" s="11"/>
      <c r="AG29" s="22">
        <f t="shared" si="8"/>
        <v>1</v>
      </c>
      <c r="AH29" s="8">
        <f t="shared" si="9"/>
        <v>5.184033177812338E-4</v>
      </c>
    </row>
    <row r="30" spans="1:37" x14ac:dyDescent="0.25">
      <c r="A30" s="5" t="s">
        <v>60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1"/>
      <c r="AA30" s="11"/>
      <c r="AB30" s="11"/>
      <c r="AC30" s="32">
        <v>4</v>
      </c>
      <c r="AD30" s="32">
        <v>4</v>
      </c>
      <c r="AE30" s="11">
        <v>1</v>
      </c>
      <c r="AF30" s="11"/>
      <c r="AG30" s="22">
        <f t="shared" si="8"/>
        <v>9</v>
      </c>
      <c r="AH30" s="8">
        <f t="shared" si="9"/>
        <v>4.6656298600311046E-3</v>
      </c>
    </row>
    <row r="31" spans="1:37" x14ac:dyDescent="0.25">
      <c r="AD31" s="12"/>
      <c r="AE31" s="12"/>
      <c r="AF31" s="12"/>
      <c r="AG31" s="22"/>
      <c r="AJ31" s="2"/>
      <c r="AK31" s="2"/>
    </row>
    <row r="32" spans="1:37" x14ac:dyDescent="0.25">
      <c r="A32" s="39" t="s">
        <v>61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J32" s="2"/>
      <c r="AK32" s="2"/>
    </row>
    <row r="33" spans="1:37" x14ac:dyDescent="0.25">
      <c r="A33" s="33"/>
      <c r="B33" s="34" t="str">
        <f>B3</f>
        <v>Enero, 24</v>
      </c>
      <c r="C33" s="34" t="str">
        <f t="shared" ref="C33:AB33" si="10">C3</f>
        <v>Febrero, 24</v>
      </c>
      <c r="D33" s="34" t="str">
        <f t="shared" si="10"/>
        <v>Marzo, 24</v>
      </c>
      <c r="E33" s="34" t="str">
        <f t="shared" si="10"/>
        <v>Abril, 24</v>
      </c>
      <c r="F33" s="34" t="str">
        <f t="shared" si="10"/>
        <v>Mayo, 24</v>
      </c>
      <c r="G33" s="34" t="str">
        <f t="shared" si="10"/>
        <v>Junio, 24</v>
      </c>
      <c r="H33" s="34" t="str">
        <f t="shared" si="10"/>
        <v>Julio, 24</v>
      </c>
      <c r="I33" s="34" t="str">
        <f t="shared" si="10"/>
        <v>Agosto, 24</v>
      </c>
      <c r="J33" s="34" t="str">
        <f t="shared" si="10"/>
        <v>Septiembre, 24</v>
      </c>
      <c r="K33" s="34" t="str">
        <f t="shared" si="10"/>
        <v>Octubre, 24</v>
      </c>
      <c r="L33" s="34" t="str">
        <f t="shared" si="10"/>
        <v>Noviembre, 24</v>
      </c>
      <c r="M33" s="34" t="str">
        <f t="shared" si="10"/>
        <v>Diciembre, 25</v>
      </c>
      <c r="N33" s="34" t="str">
        <f t="shared" si="10"/>
        <v>Enero, 25</v>
      </c>
      <c r="O33" s="34" t="str">
        <f t="shared" si="10"/>
        <v>Febrero, 25</v>
      </c>
      <c r="P33" s="34" t="str">
        <f t="shared" si="10"/>
        <v>Marzo, 25</v>
      </c>
      <c r="Q33" s="34" t="str">
        <f t="shared" si="10"/>
        <v>Abril, 25</v>
      </c>
      <c r="R33" s="34" t="str">
        <f t="shared" si="10"/>
        <v>Mayo, 25</v>
      </c>
      <c r="S33" s="34" t="str">
        <f t="shared" si="10"/>
        <v>Junio, 25</v>
      </c>
      <c r="T33" s="34" t="str">
        <f t="shared" si="10"/>
        <v>Julio, 25</v>
      </c>
      <c r="U33" s="34" t="str">
        <f t="shared" si="10"/>
        <v>Agosto, 25</v>
      </c>
      <c r="V33" s="34" t="str">
        <f t="shared" si="10"/>
        <v>Septiembre, 25</v>
      </c>
      <c r="W33" s="34" t="str">
        <f t="shared" si="10"/>
        <v>Octubre, 25</v>
      </c>
      <c r="X33" s="34" t="str">
        <f t="shared" si="10"/>
        <v>Noviembre, 25</v>
      </c>
      <c r="Y33" s="34" t="str">
        <f t="shared" si="10"/>
        <v>Diciembre, 25</v>
      </c>
      <c r="Z33" s="34" t="str">
        <f t="shared" si="10"/>
        <v>Enero, 26</v>
      </c>
      <c r="AA33" s="34" t="str">
        <f t="shared" si="10"/>
        <v>Febrero, 26</v>
      </c>
      <c r="AB33" s="34" t="str">
        <f t="shared" si="10"/>
        <v>Marzo, 26</v>
      </c>
      <c r="AC33" s="34" t="s">
        <v>28</v>
      </c>
      <c r="AD33" s="34" t="s">
        <v>29</v>
      </c>
      <c r="AE33" s="34" t="s">
        <v>30</v>
      </c>
      <c r="AF33" s="34" t="s">
        <v>31</v>
      </c>
      <c r="AG33" s="34" t="s">
        <v>62</v>
      </c>
      <c r="AH33" s="35"/>
      <c r="AI33" s="35"/>
      <c r="AJ33" s="36"/>
      <c r="AK33" s="36"/>
    </row>
    <row r="34" spans="1:37" x14ac:dyDescent="0.25">
      <c r="A34" s="5" t="s">
        <v>63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37">
        <v>22</v>
      </c>
      <c r="S34" s="37">
        <v>17</v>
      </c>
      <c r="T34" s="37">
        <v>27</v>
      </c>
      <c r="U34" s="37">
        <v>31</v>
      </c>
      <c r="V34" s="37">
        <v>40</v>
      </c>
      <c r="W34" s="37">
        <v>54</v>
      </c>
      <c r="X34" s="37">
        <v>26</v>
      </c>
      <c r="Y34" s="37">
        <v>27</v>
      </c>
      <c r="Z34" s="37">
        <v>33</v>
      </c>
      <c r="AA34" s="37">
        <v>19</v>
      </c>
      <c r="AB34" s="37">
        <v>15</v>
      </c>
      <c r="AC34" s="37">
        <v>12</v>
      </c>
      <c r="AD34" s="37">
        <v>12</v>
      </c>
      <c r="AE34" s="37">
        <v>22</v>
      </c>
      <c r="AF34" s="37"/>
      <c r="AG34" s="5">
        <f>SUM(R34:AB34)</f>
        <v>311</v>
      </c>
      <c r="AJ34" s="2"/>
      <c r="AK34" s="2"/>
    </row>
    <row r="35" spans="1:37" x14ac:dyDescent="0.25">
      <c r="A35" s="5" t="s">
        <v>64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37">
        <v>3</v>
      </c>
      <c r="S35" s="37">
        <v>3</v>
      </c>
      <c r="T35" s="37">
        <v>5</v>
      </c>
      <c r="U35" s="37">
        <v>12</v>
      </c>
      <c r="V35" s="37">
        <v>8</v>
      </c>
      <c r="W35" s="37">
        <v>6</v>
      </c>
      <c r="X35" s="37">
        <v>4</v>
      </c>
      <c r="Y35" s="37">
        <v>7</v>
      </c>
      <c r="Z35" s="37">
        <v>5</v>
      </c>
      <c r="AA35" s="37">
        <v>3</v>
      </c>
      <c r="AB35" s="37">
        <v>10</v>
      </c>
      <c r="AC35" s="37">
        <v>4</v>
      </c>
      <c r="AD35" s="37">
        <v>10</v>
      </c>
      <c r="AE35" s="37">
        <v>4</v>
      </c>
      <c r="AF35" s="37"/>
      <c r="AG35" s="5">
        <f t="shared" ref="AG35:AG37" si="11">SUM(R35:AB35)</f>
        <v>66</v>
      </c>
      <c r="AJ35" s="2"/>
      <c r="AK35" s="2"/>
    </row>
    <row r="36" spans="1:37" x14ac:dyDescent="0.25">
      <c r="A36" s="5" t="s">
        <v>65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7"/>
      <c r="S36" s="37">
        <v>2</v>
      </c>
      <c r="T36" s="37"/>
      <c r="U36" s="37"/>
      <c r="V36" s="37">
        <v>1</v>
      </c>
      <c r="W36" s="37">
        <v>5</v>
      </c>
      <c r="X36" s="37">
        <v>4</v>
      </c>
      <c r="Y36" s="37"/>
      <c r="Z36" s="37">
        <v>0</v>
      </c>
      <c r="AA36" s="37">
        <v>2</v>
      </c>
      <c r="AB36" s="37">
        <v>3</v>
      </c>
      <c r="AC36" s="37"/>
      <c r="AD36" s="37">
        <v>6</v>
      </c>
      <c r="AE36" s="37">
        <v>6</v>
      </c>
      <c r="AF36" s="37"/>
      <c r="AG36" s="5">
        <f t="shared" si="11"/>
        <v>17</v>
      </c>
      <c r="AJ36" s="2"/>
      <c r="AK36" s="2"/>
    </row>
    <row r="37" spans="1:37" x14ac:dyDescent="0.25">
      <c r="A37" s="5" t="s">
        <v>66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37"/>
      <c r="S37" s="37">
        <v>1</v>
      </c>
      <c r="T37" s="37">
        <v>1</v>
      </c>
      <c r="U37" s="37"/>
      <c r="V37" s="37"/>
      <c r="W37" s="37"/>
      <c r="X37" s="37">
        <v>2</v>
      </c>
      <c r="Y37" s="37"/>
      <c r="Z37" s="37">
        <v>0</v>
      </c>
      <c r="AA37" s="37">
        <v>1</v>
      </c>
      <c r="AB37" s="37">
        <v>2</v>
      </c>
      <c r="AC37" s="37"/>
      <c r="AD37" s="37">
        <v>1</v>
      </c>
      <c r="AE37" s="37">
        <v>1</v>
      </c>
      <c r="AF37" s="37"/>
      <c r="AG37" s="5">
        <f t="shared" si="11"/>
        <v>7</v>
      </c>
    </row>
    <row r="40" spans="1:37" x14ac:dyDescent="0.25">
      <c r="A40" s="39" t="s">
        <v>67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:37" x14ac:dyDescent="0.25">
      <c r="A41" s="11"/>
      <c r="B41" s="38" t="str">
        <f>B33</f>
        <v>Enero, 24</v>
      </c>
      <c r="C41" s="38" t="str">
        <f t="shared" ref="C41:AB41" si="12">C33</f>
        <v>Febrero, 24</v>
      </c>
      <c r="D41" s="38" t="str">
        <f t="shared" si="12"/>
        <v>Marzo, 24</v>
      </c>
      <c r="E41" s="38" t="str">
        <f t="shared" si="12"/>
        <v>Abril, 24</v>
      </c>
      <c r="F41" s="38" t="str">
        <f t="shared" si="12"/>
        <v>Mayo, 24</v>
      </c>
      <c r="G41" s="38" t="str">
        <f t="shared" si="12"/>
        <v>Junio, 24</v>
      </c>
      <c r="H41" s="38" t="str">
        <f t="shared" si="12"/>
        <v>Julio, 24</v>
      </c>
      <c r="I41" s="38" t="str">
        <f t="shared" si="12"/>
        <v>Agosto, 24</v>
      </c>
      <c r="J41" s="38" t="str">
        <f t="shared" si="12"/>
        <v>Septiembre, 24</v>
      </c>
      <c r="K41" s="38" t="str">
        <f t="shared" si="12"/>
        <v>Octubre, 24</v>
      </c>
      <c r="L41" s="38" t="str">
        <f t="shared" si="12"/>
        <v>Noviembre, 24</v>
      </c>
      <c r="M41" s="38" t="str">
        <f t="shared" si="12"/>
        <v>Diciembre, 25</v>
      </c>
      <c r="N41" s="38" t="str">
        <f t="shared" si="12"/>
        <v>Enero, 25</v>
      </c>
      <c r="O41" s="38" t="str">
        <f t="shared" si="12"/>
        <v>Febrero, 25</v>
      </c>
      <c r="P41" s="38" t="str">
        <f t="shared" si="12"/>
        <v>Marzo, 25</v>
      </c>
      <c r="Q41" s="38" t="str">
        <f t="shared" si="12"/>
        <v>Abril, 25</v>
      </c>
      <c r="R41" s="38" t="str">
        <f t="shared" si="12"/>
        <v>Mayo, 25</v>
      </c>
      <c r="S41" s="38" t="str">
        <f t="shared" si="12"/>
        <v>Junio, 25</v>
      </c>
      <c r="T41" s="38" t="str">
        <f t="shared" si="12"/>
        <v>Julio, 25</v>
      </c>
      <c r="U41" s="38" t="str">
        <f t="shared" si="12"/>
        <v>Agosto, 25</v>
      </c>
      <c r="V41" s="38" t="str">
        <f t="shared" si="12"/>
        <v>Septiembre, 25</v>
      </c>
      <c r="W41" s="38" t="str">
        <f t="shared" si="12"/>
        <v>Octubre, 25</v>
      </c>
      <c r="X41" s="38" t="str">
        <f t="shared" si="12"/>
        <v>Noviembre, 25</v>
      </c>
      <c r="Y41" s="38" t="str">
        <f t="shared" si="12"/>
        <v>Diciembre, 25</v>
      </c>
      <c r="Z41" s="38" t="str">
        <f t="shared" si="12"/>
        <v>Enero, 26</v>
      </c>
      <c r="AA41" s="38" t="str">
        <f t="shared" si="12"/>
        <v>Febrero, 26</v>
      </c>
      <c r="AB41" s="38" t="str">
        <f t="shared" si="12"/>
        <v>Marzo, 26</v>
      </c>
      <c r="AC41" s="38" t="str">
        <f>AC33</f>
        <v>Abril, 26</v>
      </c>
      <c r="AD41" s="38" t="s">
        <v>29</v>
      </c>
      <c r="AE41" s="38" t="s">
        <v>30</v>
      </c>
      <c r="AF41" s="38" t="s">
        <v>31</v>
      </c>
      <c r="AG41" s="11" t="s">
        <v>62</v>
      </c>
      <c r="AH41" s="12"/>
      <c r="AI41" s="12"/>
      <c r="AJ41" s="12"/>
      <c r="AK41" s="12"/>
    </row>
    <row r="42" spans="1:37" x14ac:dyDescent="0.25">
      <c r="A42" s="5" t="s">
        <v>68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37">
        <v>4</v>
      </c>
      <c r="S42" s="37">
        <v>5</v>
      </c>
      <c r="T42" s="37">
        <v>3</v>
      </c>
      <c r="U42" s="37">
        <v>5</v>
      </c>
      <c r="V42" s="37">
        <v>5</v>
      </c>
      <c r="W42" s="37">
        <v>10</v>
      </c>
      <c r="X42" s="5">
        <v>6</v>
      </c>
      <c r="Y42" s="5">
        <v>0</v>
      </c>
      <c r="Z42" s="5">
        <v>4</v>
      </c>
      <c r="AA42" s="5">
        <v>1</v>
      </c>
      <c r="AB42" s="5">
        <v>1</v>
      </c>
      <c r="AC42" s="5">
        <v>2</v>
      </c>
      <c r="AD42" s="5">
        <v>2</v>
      </c>
      <c r="AE42" s="5">
        <v>2</v>
      </c>
      <c r="AF42" s="5"/>
      <c r="AG42" s="5">
        <f>SUM(R42:AB42)</f>
        <v>44</v>
      </c>
    </row>
    <row r="43" spans="1:37" x14ac:dyDescent="0.25">
      <c r="A43" s="5" t="s">
        <v>69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</v>
      </c>
      <c r="W43" s="5">
        <v>2</v>
      </c>
      <c r="X43" s="5">
        <v>2</v>
      </c>
      <c r="Y43" s="5">
        <v>1</v>
      </c>
      <c r="Z43" s="5">
        <v>0</v>
      </c>
      <c r="AA43" s="5">
        <v>0</v>
      </c>
      <c r="AB43" s="5">
        <v>0</v>
      </c>
      <c r="AC43" s="5">
        <v>3</v>
      </c>
      <c r="AD43" s="5">
        <v>1</v>
      </c>
      <c r="AE43" s="5">
        <v>2</v>
      </c>
      <c r="AF43" s="5"/>
      <c r="AG43" s="5">
        <f t="shared" ref="AG43:AG45" si="13">SUM(R43:AB43)</f>
        <v>6</v>
      </c>
    </row>
    <row r="44" spans="1:37" x14ac:dyDescent="0.25">
      <c r="A44" s="5" t="s">
        <v>70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37">
        <v>4</v>
      </c>
      <c r="S44" s="37">
        <v>1</v>
      </c>
      <c r="T44" s="37">
        <v>1</v>
      </c>
      <c r="U44" s="37"/>
      <c r="V44" s="37">
        <v>1</v>
      </c>
      <c r="W44" s="37">
        <v>8</v>
      </c>
      <c r="X44" s="5">
        <v>4</v>
      </c>
      <c r="Y44" s="5">
        <v>3</v>
      </c>
      <c r="Z44" s="5">
        <v>9</v>
      </c>
      <c r="AA44" s="5">
        <v>6</v>
      </c>
      <c r="AB44" s="5">
        <v>4</v>
      </c>
      <c r="AC44" s="5">
        <v>10</v>
      </c>
      <c r="AD44" s="5">
        <v>1</v>
      </c>
      <c r="AE44" s="5">
        <v>7</v>
      </c>
      <c r="AF44" s="5"/>
      <c r="AG44" s="5">
        <f t="shared" si="13"/>
        <v>41</v>
      </c>
    </row>
    <row r="45" spans="1:37" x14ac:dyDescent="0.25">
      <c r="A45" s="5" t="s">
        <v>66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37">
        <v>3</v>
      </c>
      <c r="S45" s="37">
        <v>4</v>
      </c>
      <c r="T45" s="37">
        <v>6</v>
      </c>
      <c r="U45" s="37"/>
      <c r="V45" s="37">
        <v>4</v>
      </c>
      <c r="W45" s="37">
        <v>5</v>
      </c>
      <c r="X45" s="5">
        <v>0</v>
      </c>
      <c r="Y45" s="5">
        <v>3</v>
      </c>
      <c r="Z45" s="5">
        <v>0</v>
      </c>
      <c r="AA45" s="5">
        <v>5</v>
      </c>
      <c r="AB45" s="5">
        <v>11</v>
      </c>
      <c r="AC45" s="5">
        <v>3</v>
      </c>
      <c r="AD45" s="5">
        <v>9</v>
      </c>
      <c r="AE45" s="5">
        <v>5</v>
      </c>
      <c r="AF45" s="5"/>
      <c r="AG45" s="5">
        <f t="shared" si="13"/>
        <v>41</v>
      </c>
    </row>
  </sheetData>
  <protectedRanges>
    <protectedRange sqref="S1:S2" name="Rango1"/>
  </protectedRanges>
  <mergeCells count="3">
    <mergeCell ref="A13:AH13"/>
    <mergeCell ref="A32:AG32"/>
    <mergeCell ref="A40:A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Garcia Suarez</dc:creator>
  <cp:lastModifiedBy>Alfredo Garcia Suarez</cp:lastModifiedBy>
  <dcterms:created xsi:type="dcterms:W3CDTF">2026-08-18T04:43:32Z</dcterms:created>
  <dcterms:modified xsi:type="dcterms:W3CDTF">2026-08-18T04:56:09Z</dcterms:modified>
</cp:coreProperties>
</file>